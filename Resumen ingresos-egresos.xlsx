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Documents\Año 2026\INSAMAR\"/>
    </mc:Choice>
  </mc:AlternateContent>
  <xr:revisionPtr revIDLastSave="0" documentId="13_ncr:1_{1278B340-01C0-4DD8-8A87-7BB2D0AE87BB}" xr6:coauthVersionLast="47" xr6:coauthVersionMax="47" xr10:uidLastSave="{00000000-0000-0000-0000-000000000000}"/>
  <bookViews>
    <workbookView xWindow="-108" yWindow="-108" windowWidth="23256" windowHeight="12456" activeTab="1" xr2:uid="{D17D3491-0EB6-4DEE-A28F-0CD505E89BDE}"/>
  </bookViews>
  <sheets>
    <sheet name="Enero" sheetId="1" r:id="rId1"/>
    <sheet name="Febre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5" i="2"/>
  <c r="C8" i="2" s="1"/>
  <c r="B5" i="2"/>
  <c r="B8" i="2" s="1"/>
  <c r="M8" i="2"/>
  <c r="L8" i="2"/>
  <c r="K8" i="2"/>
  <c r="J8" i="2"/>
  <c r="I8" i="2"/>
  <c r="H8" i="2"/>
  <c r="G8" i="2"/>
  <c r="F8" i="2"/>
  <c r="E8" i="2"/>
  <c r="D8" i="2"/>
  <c r="C8" i="1"/>
  <c r="J8" i="1"/>
  <c r="M8" i="1"/>
  <c r="L8" i="1"/>
  <c r="K8" i="1"/>
  <c r="F8" i="1"/>
  <c r="G8" i="1"/>
  <c r="I8" i="1"/>
  <c r="H8" i="1"/>
  <c r="D8" i="1"/>
  <c r="E8" i="1"/>
  <c r="B8" i="1"/>
</calcChain>
</file>

<file path=xl/sharedStrings.xml><?xml version="1.0" encoding="utf-8"?>
<sst xmlns="http://schemas.openxmlformats.org/spreadsheetml/2006/main" count="50" uniqueCount="18">
  <si>
    <t>Recauchaje Insamar</t>
  </si>
  <si>
    <t>Logística</t>
  </si>
  <si>
    <t>Sustrend</t>
  </si>
  <si>
    <t>Sangha Inmobiliaria</t>
  </si>
  <si>
    <t>Ingresos</t>
  </si>
  <si>
    <t>Egresos</t>
  </si>
  <si>
    <t>Saldo inicial</t>
  </si>
  <si>
    <t>Banco Santander</t>
  </si>
  <si>
    <t>Banco Chile</t>
  </si>
  <si>
    <t>Saldo Banco al 31/01</t>
  </si>
  <si>
    <t>Dario E.I.R.L.</t>
  </si>
  <si>
    <t>Volltech</t>
  </si>
  <si>
    <t>Sustrend Laboratorios</t>
  </si>
  <si>
    <t>Inversiones Sangha</t>
  </si>
  <si>
    <t>Wellnes Academy</t>
  </si>
  <si>
    <t>Banco Santander (Viña)</t>
  </si>
  <si>
    <t>Banco Santander (Stgo.)</t>
  </si>
  <si>
    <t>Saldo Banco al 27/02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</si>
</sst>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2" fontId="0" fillId="0" borderId="0" xfId="1" applyFont="1"/>
    <xf numFmtId="0" fontId="3" fillId="0" borderId="0" xfId="0" applyFont="1"/>
    <xf numFmtId="42" fontId="3" fillId="0" borderId="0" xfId="1" applyFont="1" applyBorder="1" applyAlignment="1">
      <alignment horizontal="center"/>
    </xf>
    <xf numFmtId="0" fontId="3" fillId="2" borderId="1" xfId="0" applyFont="1" applyFill="1" applyBorder="1"/>
    <xf numFmtId="42" fontId="3" fillId="2" borderId="1" xfId="1" applyFont="1" applyFill="1" applyBorder="1"/>
    <xf numFmtId="0" fontId="3" fillId="0" borderId="0" xfId="0" applyFont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2" fontId="3" fillId="0" borderId="0" xfId="1" applyFont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BB9D-8FD3-4103-B62E-2BD93C372B68}">
  <sheetPr>
    <tabColor rgb="FFFFC000"/>
  </sheetPr>
  <dimension ref="A3:M8"/>
  <sheetViews>
    <sheetView zoomScale="79" zoomScaleNormal="79" workbookViewId="0">
      <selection activeCell="B21" sqref="B21"/>
    </sheetView>
  </sheetViews>
  <sheetFormatPr baseColWidth="10" defaultRowHeight="14.4" x14ac:dyDescent="0.3"/>
  <cols>
    <col min="1" max="1" width="19.109375" customWidth="1"/>
    <col min="2" max="2" width="18.77734375" customWidth="1"/>
    <col min="3" max="3" width="17.77734375" customWidth="1"/>
    <col min="4" max="4" width="21" customWidth="1"/>
    <col min="5" max="5" width="19.21875" customWidth="1"/>
    <col min="6" max="6" width="21.44140625" customWidth="1"/>
    <col min="7" max="7" width="16" customWidth="1"/>
    <col min="8" max="8" width="19.33203125" customWidth="1"/>
    <col min="9" max="10" width="18.5546875" customWidth="1"/>
    <col min="11" max="11" width="22.21875" customWidth="1"/>
    <col min="12" max="12" width="20.33203125" customWidth="1"/>
    <col min="13" max="13" width="21.44140625" customWidth="1"/>
  </cols>
  <sheetData>
    <row r="3" spans="1:13" s="1" customFormat="1" x14ac:dyDescent="0.3">
      <c r="B3" s="9" t="s">
        <v>0</v>
      </c>
      <c r="C3" s="10"/>
      <c r="D3" s="11" t="s">
        <v>1</v>
      </c>
      <c r="E3" s="12" t="s">
        <v>2</v>
      </c>
      <c r="F3" s="17" t="s">
        <v>12</v>
      </c>
      <c r="G3" s="18" t="s">
        <v>11</v>
      </c>
      <c r="H3" s="19" t="s">
        <v>10</v>
      </c>
      <c r="I3" s="14" t="s">
        <v>3</v>
      </c>
      <c r="J3" s="15"/>
      <c r="K3" s="20" t="s">
        <v>13</v>
      </c>
      <c r="L3" s="16" t="s">
        <v>14</v>
      </c>
      <c r="M3" s="16"/>
    </row>
    <row r="4" spans="1:13" s="1" customFormat="1" x14ac:dyDescent="0.3">
      <c r="B4" s="2" t="s">
        <v>7</v>
      </c>
      <c r="C4" s="2" t="s">
        <v>8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15</v>
      </c>
      <c r="M4" s="2" t="s">
        <v>16</v>
      </c>
    </row>
    <row r="5" spans="1:13" s="1" customFormat="1" x14ac:dyDescent="0.3">
      <c r="A5" s="8" t="s">
        <v>6</v>
      </c>
      <c r="B5" s="5">
        <v>11254624</v>
      </c>
      <c r="C5" s="5">
        <v>1351940</v>
      </c>
      <c r="D5" s="5">
        <v>558957</v>
      </c>
      <c r="E5" s="5">
        <v>2555136</v>
      </c>
      <c r="F5" s="5">
        <v>7256215</v>
      </c>
      <c r="G5" s="5">
        <v>0</v>
      </c>
      <c r="H5" s="5">
        <v>165716</v>
      </c>
      <c r="I5" s="5">
        <v>11901271</v>
      </c>
      <c r="J5" s="5">
        <v>39999668</v>
      </c>
      <c r="K5" s="13">
        <v>11383839</v>
      </c>
      <c r="L5" s="13">
        <v>1538078</v>
      </c>
      <c r="M5" s="13">
        <v>335671</v>
      </c>
    </row>
    <row r="6" spans="1:13" x14ac:dyDescent="0.3">
      <c r="A6" s="4" t="s">
        <v>4</v>
      </c>
      <c r="B6" s="3">
        <v>58846790</v>
      </c>
      <c r="C6" s="3">
        <v>13426698</v>
      </c>
      <c r="D6" s="3">
        <v>46537707</v>
      </c>
      <c r="E6" s="3">
        <v>9157774</v>
      </c>
      <c r="F6" s="3">
        <v>3587917</v>
      </c>
      <c r="G6" s="3">
        <v>0</v>
      </c>
      <c r="H6" s="3">
        <v>3026580</v>
      </c>
      <c r="I6" s="3">
        <v>7664747</v>
      </c>
      <c r="J6" s="3">
        <v>0</v>
      </c>
      <c r="K6" s="3">
        <v>51348566</v>
      </c>
      <c r="L6" s="3">
        <v>8654273</v>
      </c>
      <c r="M6" s="3">
        <v>2259688</v>
      </c>
    </row>
    <row r="7" spans="1:13" x14ac:dyDescent="0.3">
      <c r="A7" s="4" t="s">
        <v>5</v>
      </c>
      <c r="B7" s="3">
        <v>-67981667</v>
      </c>
      <c r="C7" s="3">
        <v>-12202168</v>
      </c>
      <c r="D7" s="3">
        <v>-26694726</v>
      </c>
      <c r="E7" s="3">
        <v>-11684087</v>
      </c>
      <c r="F7" s="3">
        <v>-9043898</v>
      </c>
      <c r="G7" s="3">
        <v>0</v>
      </c>
      <c r="H7" s="3">
        <v>-3192296</v>
      </c>
      <c r="I7" s="3">
        <v>-12518732</v>
      </c>
      <c r="J7" s="3">
        <v>-20409324</v>
      </c>
      <c r="K7" s="3">
        <v>-50807828</v>
      </c>
      <c r="L7" s="3">
        <v>-9219995</v>
      </c>
      <c r="M7" s="3">
        <v>-2276876</v>
      </c>
    </row>
    <row r="8" spans="1:13" x14ac:dyDescent="0.3">
      <c r="A8" s="6" t="s">
        <v>9</v>
      </c>
      <c r="B8" s="7">
        <f>SUM(B5:B7)</f>
        <v>2119747</v>
      </c>
      <c r="C8" s="7">
        <f>SUM(C5:C7)</f>
        <v>2576470</v>
      </c>
      <c r="D8" s="7">
        <f>SUM(D5:D7)</f>
        <v>20401938</v>
      </c>
      <c r="E8" s="7">
        <f>SUM(E5:E7)</f>
        <v>28823</v>
      </c>
      <c r="F8" s="7">
        <f>SUM(F5:F7)</f>
        <v>1800234</v>
      </c>
      <c r="G8" s="7">
        <f>SUM(G5:G7)</f>
        <v>0</v>
      </c>
      <c r="H8" s="7">
        <f>SUM(H5:H7)</f>
        <v>0</v>
      </c>
      <c r="I8" s="7">
        <f>SUM(I5:I7)</f>
        <v>7047286</v>
      </c>
      <c r="J8" s="7">
        <f>SUM(J5:J7)</f>
        <v>19590344</v>
      </c>
      <c r="K8" s="7">
        <f>SUM(K5:K7)</f>
        <v>11924577</v>
      </c>
      <c r="L8" s="7">
        <f>SUM(L5:L7)</f>
        <v>972356</v>
      </c>
      <c r="M8" s="7">
        <f>SUM(M5:M7)</f>
        <v>318483</v>
      </c>
    </row>
  </sheetData>
  <mergeCells count="3">
    <mergeCell ref="B3:C3"/>
    <mergeCell ref="L3:M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F7BB-94BA-49D9-8630-D4EE15CC94AD}">
  <sheetPr>
    <tabColor theme="6" tint="0.39997558519241921"/>
  </sheetPr>
  <dimension ref="A3:M8"/>
  <sheetViews>
    <sheetView tabSelected="1" zoomScale="89" zoomScaleNormal="89" workbookViewId="0">
      <selection activeCell="E4" sqref="E4"/>
    </sheetView>
  </sheetViews>
  <sheetFormatPr baseColWidth="10" defaultRowHeight="14.4" x14ac:dyDescent="0.3"/>
  <cols>
    <col min="1" max="1" width="19.109375" customWidth="1"/>
    <col min="2" max="2" width="18.77734375" customWidth="1"/>
    <col min="3" max="3" width="17.77734375" customWidth="1"/>
    <col min="4" max="4" width="21" customWidth="1"/>
    <col min="5" max="5" width="19.21875" customWidth="1"/>
    <col min="6" max="6" width="18.88671875" customWidth="1"/>
    <col min="7" max="7" width="16" customWidth="1"/>
    <col min="8" max="8" width="19.33203125" customWidth="1"/>
    <col min="9" max="10" width="18.5546875" customWidth="1"/>
    <col min="11" max="11" width="18.109375" customWidth="1"/>
    <col min="12" max="12" width="20.33203125" customWidth="1"/>
    <col min="13" max="13" width="21.44140625" customWidth="1"/>
  </cols>
  <sheetData>
    <row r="3" spans="1:13" s="1" customFormat="1" x14ac:dyDescent="0.3">
      <c r="B3" s="9" t="s">
        <v>0</v>
      </c>
      <c r="C3" s="10"/>
      <c r="D3" s="11" t="s">
        <v>1</v>
      </c>
      <c r="E3" s="12" t="s">
        <v>2</v>
      </c>
      <c r="F3" s="17" t="s">
        <v>12</v>
      </c>
      <c r="G3" s="18" t="s">
        <v>11</v>
      </c>
      <c r="H3" s="19" t="s">
        <v>10</v>
      </c>
      <c r="I3" s="14" t="s">
        <v>3</v>
      </c>
      <c r="J3" s="15"/>
      <c r="K3" s="20" t="s">
        <v>13</v>
      </c>
      <c r="L3" s="16" t="s">
        <v>14</v>
      </c>
      <c r="M3" s="16"/>
    </row>
    <row r="4" spans="1:13" s="1" customFormat="1" x14ac:dyDescent="0.3">
      <c r="B4" s="2" t="s">
        <v>7</v>
      </c>
      <c r="C4" s="2" t="s">
        <v>8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8</v>
      </c>
      <c r="K4" s="2" t="s">
        <v>7</v>
      </c>
      <c r="L4" s="2" t="s">
        <v>15</v>
      </c>
      <c r="M4" s="2" t="s">
        <v>16</v>
      </c>
    </row>
    <row r="5" spans="1:13" s="1" customFormat="1" x14ac:dyDescent="0.3">
      <c r="A5" s="8" t="s">
        <v>6</v>
      </c>
      <c r="B5" s="5">
        <f>Enero!B8</f>
        <v>2119747</v>
      </c>
      <c r="C5" s="5">
        <f>Enero!C8</f>
        <v>2576470</v>
      </c>
      <c r="D5" s="5">
        <f>Enero!D8</f>
        <v>20401938</v>
      </c>
      <c r="E5" s="5">
        <v>28823</v>
      </c>
      <c r="F5" s="5">
        <v>1800234</v>
      </c>
      <c r="G5" s="5">
        <v>0</v>
      </c>
      <c r="H5" s="5">
        <v>0</v>
      </c>
      <c r="I5" s="5">
        <v>7047286</v>
      </c>
      <c r="J5" s="5">
        <v>19590344</v>
      </c>
      <c r="K5" s="13">
        <v>11924577</v>
      </c>
      <c r="L5" s="13">
        <v>972356</v>
      </c>
      <c r="M5" s="13">
        <v>318483</v>
      </c>
    </row>
    <row r="6" spans="1:13" x14ac:dyDescent="0.3">
      <c r="A6" s="4" t="s">
        <v>4</v>
      </c>
      <c r="B6" s="3">
        <v>50205894</v>
      </c>
      <c r="C6" s="3">
        <v>23023718</v>
      </c>
      <c r="D6" s="3">
        <v>5260626</v>
      </c>
      <c r="E6" s="3">
        <v>11315949</v>
      </c>
      <c r="F6" s="3">
        <v>24219674</v>
      </c>
      <c r="G6" s="3">
        <v>1598434</v>
      </c>
      <c r="H6" s="3">
        <v>0</v>
      </c>
      <c r="I6" s="3">
        <v>32938129</v>
      </c>
      <c r="J6" s="3">
        <v>0</v>
      </c>
      <c r="K6" s="3">
        <v>5357968</v>
      </c>
      <c r="L6" s="3">
        <v>6256500</v>
      </c>
      <c r="M6" s="3">
        <v>1900000</v>
      </c>
    </row>
    <row r="7" spans="1:13" x14ac:dyDescent="0.3">
      <c r="A7" s="4" t="s">
        <v>5</v>
      </c>
      <c r="B7" s="3">
        <v>-47711809</v>
      </c>
      <c r="C7" s="3">
        <v>-21004187</v>
      </c>
      <c r="D7" s="3">
        <v>-25638265</v>
      </c>
      <c r="E7" s="3">
        <v>-9310678</v>
      </c>
      <c r="F7" s="3">
        <v>-13790289</v>
      </c>
      <c r="G7" s="3">
        <v>-1060340</v>
      </c>
      <c r="H7" s="3">
        <v>0</v>
      </c>
      <c r="I7" s="3">
        <v>-10435372</v>
      </c>
      <c r="J7" s="3">
        <v>0</v>
      </c>
      <c r="K7" s="3">
        <v>-1342971</v>
      </c>
      <c r="L7" s="3">
        <v>-6734896</v>
      </c>
      <c r="M7" s="3">
        <v>-1712360</v>
      </c>
    </row>
    <row r="8" spans="1:13" x14ac:dyDescent="0.3">
      <c r="A8" s="6" t="s">
        <v>17</v>
      </c>
      <c r="B8" s="7">
        <f>SUM(B5:B7)</f>
        <v>4613832</v>
      </c>
      <c r="C8" s="7">
        <f>SUM(C5:C7)</f>
        <v>4596001</v>
      </c>
      <c r="D8" s="7">
        <f>SUM(D5:D7)</f>
        <v>24299</v>
      </c>
      <c r="E8" s="7">
        <f>SUM(E5:E7)</f>
        <v>2034094</v>
      </c>
      <c r="F8" s="7">
        <f>SUM(F5:F7)</f>
        <v>12229619</v>
      </c>
      <c r="G8" s="7">
        <f>SUM(G5:G7)</f>
        <v>538094</v>
      </c>
      <c r="H8" s="7">
        <f>SUM(H5:H7)</f>
        <v>0</v>
      </c>
      <c r="I8" s="7">
        <f>SUM(I5:I7)</f>
        <v>29550043</v>
      </c>
      <c r="J8" s="7">
        <f>SUM(J5:J7)</f>
        <v>19590344</v>
      </c>
      <c r="K8" s="7">
        <f>SUM(K5:K7)</f>
        <v>15939574</v>
      </c>
      <c r="L8" s="7">
        <f>SUM(L5:L7)</f>
        <v>493960</v>
      </c>
      <c r="M8" s="7">
        <f>SUM(M5:M7)</f>
        <v>506123</v>
      </c>
    </row>
  </sheetData>
  <mergeCells count="3">
    <mergeCell ref="B3:C3"/>
    <mergeCell ref="I3:J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Bruna</dc:creator>
  <cp:lastModifiedBy>Paola Bruna</cp:lastModifiedBy>
  <dcterms:created xsi:type="dcterms:W3CDTF">2026-02-27T12:58:12Z</dcterms:created>
  <dcterms:modified xsi:type="dcterms:W3CDTF">2026-02-27T14:11:54Z</dcterms:modified>
</cp:coreProperties>
</file>